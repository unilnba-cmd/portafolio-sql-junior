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amoy\Documents\PROGRAMACION\JAVA_MYSQL\"/>
    </mc:Choice>
  </mc:AlternateContent>
  <xr:revisionPtr revIDLastSave="0" documentId="8_{5D2A7F1E-8D7B-4536-91A5-9A677811AE81}" xr6:coauthVersionLast="47" xr6:coauthVersionMax="47" xr10:uidLastSave="{00000000-0000-0000-0000-000000000000}"/>
  <bookViews>
    <workbookView xWindow="-110" yWindow="-110" windowWidth="19420" windowHeight="10300" firstSheet="2" activeTab="3" xr2:uid="{D0BCF67D-15AE-4B35-9CD4-10FBD79C8ECE}"/>
  </bookViews>
  <sheets>
    <sheet name="Hoja1" sheetId="3" r:id="rId1"/>
    <sheet name="Hoja4" sheetId="6" r:id="rId2"/>
    <sheet name="Hoja5" sheetId="7" r:id="rId3"/>
    <sheet name="Hoja6" sheetId="8" r:id="rId4"/>
    <sheet name="Hoja3" sheetId="5" r:id="rId5"/>
    <sheet name="Hoja2" sheetId="4" r:id="rId6"/>
    <sheet name="ventas (2)" sheetId="2" r:id="rId7"/>
    <sheet name="ventas" sheetId="1" r:id="rId8"/>
  </sheets>
  <definedNames>
    <definedName name="DatosExternos_1" localSheetId="6" hidden="1">'ventas (2)'!$A$1:$B$6</definedName>
  </definedNames>
  <calcPr calcId="191029"/>
  <pivotCaches>
    <pivotCache cacheId="0" r:id="rId9"/>
    <pivotCache cacheId="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8" l="1"/>
  <c r="C1" i="8"/>
  <c r="B1" i="8"/>
  <c r="E2" i="7"/>
  <c r="E3" i="7"/>
  <c r="E4" i="7"/>
  <c r="E5" i="7"/>
  <c r="E6" i="7"/>
  <c r="D2" i="7"/>
  <c r="D3" i="7"/>
  <c r="D4" i="7"/>
  <c r="D5" i="7"/>
  <c r="D6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DC7705-C7FC-44C9-B0E6-0B92C38B17BA}" keepAlive="1" name="Consulta - ventas" description="Conexión a la consulta 'ventas' en el libro." type="5" refreshedVersion="8" background="1" saveData="1">
    <dbPr connection="Provider=Microsoft.Mashup.OleDb.1;Data Source=$Workbook$;Location=ventas;Extended Properties=&quot;&quot;" command="SELECT * FROM [ventas]"/>
  </connection>
</connections>
</file>

<file path=xl/sharedStrings.xml><?xml version="1.0" encoding="utf-8"?>
<sst xmlns="http://schemas.openxmlformats.org/spreadsheetml/2006/main" count="50" uniqueCount="36">
  <si>
    <t>Etiquetas de fila</t>
  </si>
  <si>
    <t>Suma de ventas</t>
  </si>
  <si>
    <t>Semestre 1</t>
  </si>
  <si>
    <t>Total general</t>
  </si>
  <si>
    <t>mes</t>
  </si>
  <si>
    <t>ventas</t>
  </si>
  <si>
    <t>Enero</t>
  </si>
  <si>
    <t>Febrero</t>
  </si>
  <si>
    <t>Marzo</t>
  </si>
  <si>
    <t>Abril</t>
  </si>
  <si>
    <t>Mayo</t>
  </si>
  <si>
    <t>llamadas</t>
  </si>
  <si>
    <t xml:space="preserve">conversion </t>
  </si>
  <si>
    <t>Suma de llamadas</t>
  </si>
  <si>
    <t>Suma de Conversion %</t>
  </si>
  <si>
    <t xml:space="preserve">CALL </t>
  </si>
  <si>
    <t xml:space="preserve">CENTER </t>
  </si>
  <si>
    <t xml:space="preserve">KPI </t>
  </si>
  <si>
    <t>REPORT</t>
  </si>
  <si>
    <t>KPI</t>
  </si>
  <si>
    <t>SALES vs CONVERSION</t>
  </si>
  <si>
    <t>RATE</t>
  </si>
  <si>
    <t>CALL PERFORMANCE</t>
  </si>
  <si>
    <t>Sales = 7800</t>
  </si>
  <si>
    <t>Conversion 46%</t>
  </si>
  <si>
    <t>Calls = 16800</t>
  </si>
  <si>
    <t>Mes</t>
  </si>
  <si>
    <t>Calls</t>
  </si>
  <si>
    <t>Sales</t>
  </si>
  <si>
    <t>Conversion</t>
  </si>
  <si>
    <t>Missed calls</t>
  </si>
  <si>
    <t>Turning Calls into Sales: KPI Analysis</t>
  </si>
  <si>
    <t>Total Calls</t>
  </si>
  <si>
    <t>Total Sales</t>
  </si>
  <si>
    <t>Conversion Rate</t>
  </si>
  <si>
    <t xml:space="preserve">Sales Conversion &amp; Call Efficiency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</si>
</sst>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rgb="FF002060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0"/>
      <color rgb="FF002060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b/>
      <sz val="9"/>
      <color rgb="FF002060"/>
      <name val="Aptos Narrow"/>
      <family val="2"/>
      <scheme val="minor"/>
    </font>
    <font>
      <b/>
      <sz val="14"/>
      <color theme="9" tint="-0.499984740745262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rgb="FF00206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1" applyFont="1" applyAlignment="1">
      <alignment vertical="center" wrapText="1"/>
    </xf>
    <xf numFmtId="9" fontId="0" fillId="0" borderId="0" xfId="1" applyFont="1"/>
    <xf numFmtId="0" fontId="0" fillId="0" borderId="0" xfId="0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9" fontId="26" fillId="0" borderId="0" xfId="1" applyFont="1" applyAlignment="1">
      <alignment horizontal="center"/>
    </xf>
    <xf numFmtId="0" fontId="16" fillId="0" borderId="0" xfId="0" applyFont="1" applyAlignment="1">
      <alignment horizontal="center"/>
    </xf>
    <xf numFmtId="0" fontId="27" fillId="0" borderId="0" xfId="0" applyFont="1" applyAlignment="1">
      <alignment horizontal="center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Neutral" xfId="9" builtinId="28" customBuiltin="1"/>
    <cellStyle name="Normal" xfId="0" builtinId="0"/>
    <cellStyle name="Notas" xfId="16" builtinId="10" customBuiltin="1"/>
    <cellStyle name="Porcentaje" xfId="1" builtinId="5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9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SALES vs CONVERSION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'ventas (2)'!$B$1</c:f>
              <c:strCache>
                <c:ptCount val="1"/>
                <c:pt idx="0">
                  <c:v>ventas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'ventas (2)'!$A$2:$A$6</c:f>
              <c:strCache>
                <c:ptCount val="5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</c:strCache>
            </c:strRef>
          </c:cat>
          <c:val>
            <c:numRef>
              <c:f>'ventas (2)'!$B$2:$B$6</c:f>
              <c:numCache>
                <c:formatCode>General</c:formatCode>
                <c:ptCount val="5"/>
                <c:pt idx="0">
                  <c:v>1200</c:v>
                </c:pt>
                <c:pt idx="1">
                  <c:v>1500</c:v>
                </c:pt>
                <c:pt idx="2">
                  <c:v>1700</c:v>
                </c:pt>
                <c:pt idx="3">
                  <c:v>1400</c:v>
                </c:pt>
                <c:pt idx="4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FB-46C3-B1FC-227B2A75B644}"/>
            </c:ext>
          </c:extLst>
        </c:ser>
        <c:ser>
          <c:idx val="1"/>
          <c:order val="1"/>
          <c:tx>
            <c:strRef>
              <c:f>'ventas (2)'!$C$1</c:f>
              <c:strCache>
                <c:ptCount val="1"/>
                <c:pt idx="0">
                  <c:v>llamadas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'ventas (2)'!$A$2:$A$6</c:f>
              <c:strCache>
                <c:ptCount val="5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</c:strCache>
            </c:strRef>
          </c:cat>
          <c:val>
            <c:numRef>
              <c:f>'ventas (2)'!$C$2:$C$6</c:f>
              <c:numCache>
                <c:formatCode>General</c:formatCode>
                <c:ptCount val="5"/>
                <c:pt idx="0">
                  <c:v>3000</c:v>
                </c:pt>
                <c:pt idx="1">
                  <c:v>3200</c:v>
                </c:pt>
                <c:pt idx="2">
                  <c:v>3500</c:v>
                </c:pt>
                <c:pt idx="3">
                  <c:v>3100</c:v>
                </c:pt>
                <c:pt idx="4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FB-46C3-B1FC-227B2A75B64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250441487"/>
        <c:axId val="250453967"/>
      </c:barChart>
      <c:lineChart>
        <c:grouping val="percentStacked"/>
        <c:varyColors val="0"/>
        <c:ser>
          <c:idx val="2"/>
          <c:order val="2"/>
          <c:tx>
            <c:strRef>
              <c:f>'ventas (2)'!$D$1</c:f>
              <c:strCache>
                <c:ptCount val="1"/>
                <c:pt idx="0">
                  <c:v>conversion 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'ventas (2)'!$A$2:$A$6</c:f>
              <c:strCache>
                <c:ptCount val="5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</c:strCache>
            </c:strRef>
          </c:cat>
          <c:val>
            <c:numRef>
              <c:f>'ventas (2)'!$D$2:$D$6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FB-46C3-B1FC-227B2A75B64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50449167"/>
        <c:axId val="250448687"/>
      </c:lineChart>
      <c:catAx>
        <c:axId val="250441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0453967"/>
        <c:crosses val="autoZero"/>
        <c:auto val="1"/>
        <c:lblAlgn val="ctr"/>
        <c:lblOffset val="100"/>
        <c:noMultiLvlLbl val="0"/>
      </c:catAx>
      <c:valAx>
        <c:axId val="250453967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0441487"/>
        <c:crosses val="autoZero"/>
        <c:crossBetween val="between"/>
      </c:valAx>
      <c:valAx>
        <c:axId val="250448687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0449167"/>
        <c:crosses val="max"/>
        <c:crossBetween val="between"/>
      </c:valAx>
      <c:catAx>
        <c:axId val="25044916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504486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096859880466748"/>
          <c:y val="0.87799937007874018"/>
          <c:w val="0.37806265644041948"/>
          <c:h val="0.122000629921259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CALLS vs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'ventas (2)'!$C$1</c:f>
              <c:strCache>
                <c:ptCount val="1"/>
                <c:pt idx="0">
                  <c:v>llamadas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'ventas (2)'!$A$2:$A$6</c:f>
              <c:strCache>
                <c:ptCount val="5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</c:strCache>
            </c:strRef>
          </c:cat>
          <c:val>
            <c:numRef>
              <c:f>'ventas (2)'!$C$2:$C$6</c:f>
              <c:numCache>
                <c:formatCode>General</c:formatCode>
                <c:ptCount val="5"/>
                <c:pt idx="0">
                  <c:v>3000</c:v>
                </c:pt>
                <c:pt idx="1">
                  <c:v>3200</c:v>
                </c:pt>
                <c:pt idx="2">
                  <c:v>3500</c:v>
                </c:pt>
                <c:pt idx="3">
                  <c:v>3100</c:v>
                </c:pt>
                <c:pt idx="4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9B-42F3-9F0E-BDF9A1656BD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50420367"/>
        <c:axId val="250439567"/>
      </c:barChart>
      <c:lineChart>
        <c:grouping val="standard"/>
        <c:varyColors val="0"/>
        <c:ser>
          <c:idx val="0"/>
          <c:order val="0"/>
          <c:tx>
            <c:strRef>
              <c:f>'ventas (2)'!$B$1</c:f>
              <c:strCache>
                <c:ptCount val="1"/>
                <c:pt idx="0">
                  <c:v>ventas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'ventas (2)'!$A$2:$A$6</c:f>
              <c:strCache>
                <c:ptCount val="5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</c:strCache>
            </c:strRef>
          </c:cat>
          <c:val>
            <c:numRef>
              <c:f>'ventas (2)'!$B$2:$B$6</c:f>
              <c:numCache>
                <c:formatCode>General</c:formatCode>
                <c:ptCount val="5"/>
                <c:pt idx="0">
                  <c:v>1200</c:v>
                </c:pt>
                <c:pt idx="1">
                  <c:v>1500</c:v>
                </c:pt>
                <c:pt idx="2">
                  <c:v>1700</c:v>
                </c:pt>
                <c:pt idx="3">
                  <c:v>1400</c:v>
                </c:pt>
                <c:pt idx="4">
                  <c:v>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9B-42F3-9F0E-BDF9A1656BD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50420367"/>
        <c:axId val="250439567"/>
      </c:lineChart>
      <c:catAx>
        <c:axId val="250420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0439567"/>
        <c:crosses val="autoZero"/>
        <c:auto val="1"/>
        <c:lblAlgn val="ctr"/>
        <c:lblOffset val="100"/>
        <c:noMultiLvlLbl val="0"/>
      </c:catAx>
      <c:valAx>
        <c:axId val="250439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0420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b="1">
                <a:solidFill>
                  <a:srgbClr val="002060"/>
                </a:solidFill>
              </a:rPr>
              <a:t>Calls,</a:t>
            </a:r>
            <a:r>
              <a:rPr lang="es-MX" b="1" baseline="0">
                <a:solidFill>
                  <a:srgbClr val="002060"/>
                </a:solidFill>
              </a:rPr>
              <a:t> Sales &amp; Coversion Rate</a:t>
            </a:r>
            <a:endParaRPr lang="es-MX" b="1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0.30882405875736119"/>
          <c:y val="3.84406360969584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Hoja5!$B$1</c:f>
              <c:strCache>
                <c:ptCount val="1"/>
                <c:pt idx="0">
                  <c:v>Calls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Hoja5!$A$2:$A$6</c:f>
              <c:strCache>
                <c:ptCount val="5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</c:strCache>
            </c:strRef>
          </c:cat>
          <c:val>
            <c:numRef>
              <c:f>Hoja5!$B$2:$B$6</c:f>
              <c:numCache>
                <c:formatCode>General</c:formatCode>
                <c:ptCount val="5"/>
                <c:pt idx="0">
                  <c:v>3000</c:v>
                </c:pt>
                <c:pt idx="1">
                  <c:v>3200</c:v>
                </c:pt>
                <c:pt idx="2">
                  <c:v>3500</c:v>
                </c:pt>
                <c:pt idx="3">
                  <c:v>3100</c:v>
                </c:pt>
                <c:pt idx="4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92-49BA-9A10-74E4A3EDCFA8}"/>
            </c:ext>
          </c:extLst>
        </c:ser>
        <c:ser>
          <c:idx val="1"/>
          <c:order val="1"/>
          <c:tx>
            <c:strRef>
              <c:f>Hoja5!$C$1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Hoja5!$A$2:$A$6</c:f>
              <c:strCache>
                <c:ptCount val="5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</c:strCache>
            </c:strRef>
          </c:cat>
          <c:val>
            <c:numRef>
              <c:f>Hoja5!$C$2:$C$6</c:f>
              <c:numCache>
                <c:formatCode>General</c:formatCode>
                <c:ptCount val="5"/>
                <c:pt idx="0">
                  <c:v>1200</c:v>
                </c:pt>
                <c:pt idx="1">
                  <c:v>1500</c:v>
                </c:pt>
                <c:pt idx="2">
                  <c:v>1700</c:v>
                </c:pt>
                <c:pt idx="3">
                  <c:v>1400</c:v>
                </c:pt>
                <c:pt idx="4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92-49BA-9A10-74E4A3EDCFA8}"/>
            </c:ext>
          </c:extLst>
        </c:ser>
        <c:ser>
          <c:idx val="3"/>
          <c:order val="3"/>
          <c:tx>
            <c:strRef>
              <c:f>Hoja5!$E$1</c:f>
              <c:strCache>
                <c:ptCount val="1"/>
                <c:pt idx="0">
                  <c:v>Missed calls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Hoja5!$A$2:$A$6</c:f>
              <c:strCache>
                <c:ptCount val="5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</c:strCache>
            </c:strRef>
          </c:cat>
          <c:val>
            <c:numRef>
              <c:f>Hoja5!$E$2:$E$6</c:f>
              <c:numCache>
                <c:formatCode>General</c:formatCode>
                <c:ptCount val="5"/>
                <c:pt idx="0">
                  <c:v>1800</c:v>
                </c:pt>
                <c:pt idx="1">
                  <c:v>1700</c:v>
                </c:pt>
                <c:pt idx="2">
                  <c:v>1800</c:v>
                </c:pt>
                <c:pt idx="3">
                  <c:v>1700</c:v>
                </c:pt>
                <c:pt idx="4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92-49BA-9A10-74E4A3EDC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50459247"/>
        <c:axId val="250461167"/>
      </c:barChart>
      <c:lineChart>
        <c:grouping val="standard"/>
        <c:varyColors val="0"/>
        <c:ser>
          <c:idx val="2"/>
          <c:order val="2"/>
          <c:tx>
            <c:strRef>
              <c:f>Hoja5!$D$1</c:f>
              <c:strCache>
                <c:ptCount val="1"/>
                <c:pt idx="0">
                  <c:v>Conversion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Hoja5!$A$2:$A$6</c:f>
              <c:strCache>
                <c:ptCount val="5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</c:strCache>
            </c:strRef>
          </c:cat>
          <c:val>
            <c:numRef>
              <c:f>Hoja5!$D$2:$D$6</c:f>
              <c:numCache>
                <c:formatCode>0%</c:formatCode>
                <c:ptCount val="5"/>
                <c:pt idx="0">
                  <c:v>0.4</c:v>
                </c:pt>
                <c:pt idx="1">
                  <c:v>0.46875</c:v>
                </c:pt>
                <c:pt idx="2">
                  <c:v>0.48571428571428571</c:v>
                </c:pt>
                <c:pt idx="3">
                  <c:v>0.45161290322580644</c:v>
                </c:pt>
                <c:pt idx="4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492-49BA-9A10-74E4A3EDC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469807"/>
        <c:axId val="250468847"/>
      </c:lineChart>
      <c:catAx>
        <c:axId val="2504592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0461167"/>
        <c:crosses val="autoZero"/>
        <c:auto val="1"/>
        <c:lblAlgn val="ctr"/>
        <c:lblOffset val="100"/>
        <c:noMultiLvlLbl val="0"/>
      </c:catAx>
      <c:valAx>
        <c:axId val="25046116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0459247"/>
        <c:crosses val="autoZero"/>
        <c:crossBetween val="between"/>
      </c:valAx>
      <c:valAx>
        <c:axId val="250468847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0469807"/>
        <c:crosses val="max"/>
        <c:crossBetween val="between"/>
      </c:valAx>
      <c:catAx>
        <c:axId val="250469807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0468847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[DATA06.xlsx]Hoja2!TablaDinámica4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CALL CENTER</a:t>
            </a:r>
            <a:r>
              <a:rPr lang="es-MX" baseline="0"/>
              <a:t> KPI REPORT</a:t>
            </a:r>
          </a:p>
          <a:p>
            <a:pPr>
              <a:defRPr/>
            </a:pPr>
            <a:r>
              <a:rPr lang="es-MX" sz="1400" baseline="0"/>
              <a:t>KPI1	KPI2	KPI3</a:t>
            </a:r>
            <a:endParaRPr lang="es-MX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Hoja2!$B$3</c:f>
              <c:strCache>
                <c:ptCount val="1"/>
                <c:pt idx="0">
                  <c:v>Suma de llamadas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Hoja2!$A$4:$A$9</c:f>
              <c:strCache>
                <c:ptCount val="5"/>
                <c:pt idx="0">
                  <c:v>Abril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Mayo</c:v>
                </c:pt>
              </c:strCache>
            </c:strRef>
          </c:cat>
          <c:val>
            <c:numRef>
              <c:f>Hoja2!$B$4:$B$9</c:f>
              <c:numCache>
                <c:formatCode>General</c:formatCode>
                <c:ptCount val="5"/>
                <c:pt idx="0">
                  <c:v>3100</c:v>
                </c:pt>
                <c:pt idx="1">
                  <c:v>3000</c:v>
                </c:pt>
                <c:pt idx="2">
                  <c:v>3200</c:v>
                </c:pt>
                <c:pt idx="3">
                  <c:v>3500</c:v>
                </c:pt>
                <c:pt idx="4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D4-43D8-A77C-DC39AD5855A0}"/>
            </c:ext>
          </c:extLst>
        </c:ser>
        <c:ser>
          <c:idx val="1"/>
          <c:order val="1"/>
          <c:tx>
            <c:strRef>
              <c:f>Hoja2!$C$3</c:f>
              <c:strCache>
                <c:ptCount val="1"/>
                <c:pt idx="0">
                  <c:v>Suma de ventas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Hoja2!$A$4:$A$9</c:f>
              <c:strCache>
                <c:ptCount val="5"/>
                <c:pt idx="0">
                  <c:v>Abril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Mayo</c:v>
                </c:pt>
              </c:strCache>
            </c:strRef>
          </c:cat>
          <c:val>
            <c:numRef>
              <c:f>Hoja2!$C$4:$C$9</c:f>
              <c:numCache>
                <c:formatCode>General</c:formatCode>
                <c:ptCount val="5"/>
                <c:pt idx="0">
                  <c:v>1400</c:v>
                </c:pt>
                <c:pt idx="1">
                  <c:v>1200</c:v>
                </c:pt>
                <c:pt idx="2">
                  <c:v>1500</c:v>
                </c:pt>
                <c:pt idx="3">
                  <c:v>1700</c:v>
                </c:pt>
                <c:pt idx="4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D4-43D8-A77C-DC39AD585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overlap val="-27"/>
        <c:axId val="1105287183"/>
        <c:axId val="1105288143"/>
      </c:barChart>
      <c:lineChart>
        <c:grouping val="standard"/>
        <c:varyColors val="0"/>
        <c:ser>
          <c:idx val="2"/>
          <c:order val="2"/>
          <c:tx>
            <c:strRef>
              <c:f>Hoja2!$D$3</c:f>
              <c:strCache>
                <c:ptCount val="1"/>
                <c:pt idx="0">
                  <c:v>Suma de Conversion %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Hoja2!$A$4:$A$9</c:f>
              <c:strCache>
                <c:ptCount val="5"/>
                <c:pt idx="0">
                  <c:v>Abril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Mayo</c:v>
                </c:pt>
              </c:strCache>
            </c:strRef>
          </c:cat>
          <c:val>
            <c:numRef>
              <c:f>Hoja2!$D$4:$D$9</c:f>
              <c:numCache>
                <c:formatCode>General</c:formatCode>
                <c:ptCount val="5"/>
                <c:pt idx="0">
                  <c:v>0.45161290322580644</c:v>
                </c:pt>
                <c:pt idx="1">
                  <c:v>0.4</c:v>
                </c:pt>
                <c:pt idx="2">
                  <c:v>0.46875</c:v>
                </c:pt>
                <c:pt idx="3">
                  <c:v>0.48571428571428571</c:v>
                </c:pt>
                <c:pt idx="4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D4-43D8-A77C-DC39AD585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5292943"/>
        <c:axId val="1105297743"/>
      </c:lineChart>
      <c:catAx>
        <c:axId val="1105287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05288143"/>
        <c:crosses val="autoZero"/>
        <c:auto val="1"/>
        <c:lblAlgn val="ctr"/>
        <c:lblOffset val="100"/>
        <c:noMultiLvlLbl val="0"/>
      </c:catAx>
      <c:valAx>
        <c:axId val="110528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05287183"/>
        <c:crosses val="autoZero"/>
        <c:crossBetween val="between"/>
      </c:valAx>
      <c:valAx>
        <c:axId val="1105297743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05292943"/>
        <c:crosses val="max"/>
        <c:crossBetween val="between"/>
      </c:valAx>
      <c:catAx>
        <c:axId val="11052929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052977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[DATA06.xlsx]Hoja2!TablaDinámica4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CALL CENTER</a:t>
            </a:r>
            <a:r>
              <a:rPr lang="es-MX" baseline="0"/>
              <a:t> KPI REPORT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Hoja2!$B$3</c:f>
              <c:strCache>
                <c:ptCount val="1"/>
                <c:pt idx="0">
                  <c:v>Suma de llamadas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Hoja2!$A$4:$A$9</c:f>
              <c:strCache>
                <c:ptCount val="5"/>
                <c:pt idx="0">
                  <c:v>Abril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Mayo</c:v>
                </c:pt>
              </c:strCache>
            </c:strRef>
          </c:cat>
          <c:val>
            <c:numRef>
              <c:f>Hoja2!$B$4:$B$9</c:f>
              <c:numCache>
                <c:formatCode>General</c:formatCode>
                <c:ptCount val="5"/>
                <c:pt idx="0">
                  <c:v>3100</c:v>
                </c:pt>
                <c:pt idx="1">
                  <c:v>3000</c:v>
                </c:pt>
                <c:pt idx="2">
                  <c:v>3200</c:v>
                </c:pt>
                <c:pt idx="3">
                  <c:v>3500</c:v>
                </c:pt>
                <c:pt idx="4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D7-4B2C-947C-C2550B9DE274}"/>
            </c:ext>
          </c:extLst>
        </c:ser>
        <c:ser>
          <c:idx val="1"/>
          <c:order val="1"/>
          <c:tx>
            <c:strRef>
              <c:f>Hoja2!$C$3</c:f>
              <c:strCache>
                <c:ptCount val="1"/>
                <c:pt idx="0">
                  <c:v>Suma de ventas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Hoja2!$A$4:$A$9</c:f>
              <c:strCache>
                <c:ptCount val="5"/>
                <c:pt idx="0">
                  <c:v>Abril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Mayo</c:v>
                </c:pt>
              </c:strCache>
            </c:strRef>
          </c:cat>
          <c:val>
            <c:numRef>
              <c:f>Hoja2!$C$4:$C$9</c:f>
              <c:numCache>
                <c:formatCode>General</c:formatCode>
                <c:ptCount val="5"/>
                <c:pt idx="0">
                  <c:v>1400</c:v>
                </c:pt>
                <c:pt idx="1">
                  <c:v>1200</c:v>
                </c:pt>
                <c:pt idx="2">
                  <c:v>1500</c:v>
                </c:pt>
                <c:pt idx="3">
                  <c:v>1700</c:v>
                </c:pt>
                <c:pt idx="4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D7-4B2C-947C-C2550B9DE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overlap val="-27"/>
        <c:axId val="1105287183"/>
        <c:axId val="1105288143"/>
      </c:barChart>
      <c:lineChart>
        <c:grouping val="standard"/>
        <c:varyColors val="0"/>
        <c:ser>
          <c:idx val="2"/>
          <c:order val="2"/>
          <c:tx>
            <c:strRef>
              <c:f>Hoja2!$D$3</c:f>
              <c:strCache>
                <c:ptCount val="1"/>
                <c:pt idx="0">
                  <c:v>Suma de Conversion %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Hoja2!$A$4:$A$9</c:f>
              <c:strCache>
                <c:ptCount val="5"/>
                <c:pt idx="0">
                  <c:v>Abril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Mayo</c:v>
                </c:pt>
              </c:strCache>
            </c:strRef>
          </c:cat>
          <c:val>
            <c:numRef>
              <c:f>Hoja2!$D$4:$D$9</c:f>
              <c:numCache>
                <c:formatCode>General</c:formatCode>
                <c:ptCount val="5"/>
                <c:pt idx="0">
                  <c:v>0.45161290322580644</c:v>
                </c:pt>
                <c:pt idx="1">
                  <c:v>0.4</c:v>
                </c:pt>
                <c:pt idx="2">
                  <c:v>0.46875</c:v>
                </c:pt>
                <c:pt idx="3">
                  <c:v>0.48571428571428571</c:v>
                </c:pt>
                <c:pt idx="4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D7-4B2C-947C-C2550B9DE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5292943"/>
        <c:axId val="1105297743"/>
      </c:lineChart>
      <c:catAx>
        <c:axId val="1105287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05288143"/>
        <c:crosses val="autoZero"/>
        <c:auto val="1"/>
        <c:lblAlgn val="ctr"/>
        <c:lblOffset val="100"/>
        <c:noMultiLvlLbl val="0"/>
      </c:catAx>
      <c:valAx>
        <c:axId val="110528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05287183"/>
        <c:crosses val="autoZero"/>
        <c:crossBetween val="between"/>
      </c:valAx>
      <c:valAx>
        <c:axId val="1105297743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05292943"/>
        <c:crosses val="max"/>
        <c:crossBetween val="between"/>
      </c:valAx>
      <c:catAx>
        <c:axId val="11052929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052977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CALLS vs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'ventas (2)'!$C$1</c:f>
              <c:strCache>
                <c:ptCount val="1"/>
                <c:pt idx="0">
                  <c:v>llamadas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'ventas (2)'!$A$2:$A$6</c:f>
              <c:strCache>
                <c:ptCount val="5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</c:strCache>
            </c:strRef>
          </c:cat>
          <c:val>
            <c:numRef>
              <c:f>'ventas (2)'!$C$2:$C$6</c:f>
              <c:numCache>
                <c:formatCode>General</c:formatCode>
                <c:ptCount val="5"/>
                <c:pt idx="0">
                  <c:v>3000</c:v>
                </c:pt>
                <c:pt idx="1">
                  <c:v>3200</c:v>
                </c:pt>
                <c:pt idx="2">
                  <c:v>3500</c:v>
                </c:pt>
                <c:pt idx="3">
                  <c:v>3100</c:v>
                </c:pt>
                <c:pt idx="4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B6-44AA-8364-35A6AF825EE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50420367"/>
        <c:axId val="250439567"/>
      </c:barChart>
      <c:lineChart>
        <c:grouping val="standard"/>
        <c:varyColors val="0"/>
        <c:ser>
          <c:idx val="0"/>
          <c:order val="0"/>
          <c:tx>
            <c:strRef>
              <c:f>'ventas (2)'!$B$1</c:f>
              <c:strCache>
                <c:ptCount val="1"/>
                <c:pt idx="0">
                  <c:v>ventas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'ventas (2)'!$A$2:$A$6</c:f>
              <c:strCache>
                <c:ptCount val="5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</c:strCache>
            </c:strRef>
          </c:cat>
          <c:val>
            <c:numRef>
              <c:f>'ventas (2)'!$B$2:$B$6</c:f>
              <c:numCache>
                <c:formatCode>General</c:formatCode>
                <c:ptCount val="5"/>
                <c:pt idx="0">
                  <c:v>1200</c:v>
                </c:pt>
                <c:pt idx="1">
                  <c:v>1500</c:v>
                </c:pt>
                <c:pt idx="2">
                  <c:v>1700</c:v>
                </c:pt>
                <c:pt idx="3">
                  <c:v>1400</c:v>
                </c:pt>
                <c:pt idx="4">
                  <c:v>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B6-44AA-8364-35A6AF825EE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50420367"/>
        <c:axId val="250439567"/>
      </c:lineChart>
      <c:catAx>
        <c:axId val="250420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0439567"/>
        <c:crosses val="autoZero"/>
        <c:auto val="1"/>
        <c:lblAlgn val="ctr"/>
        <c:lblOffset val="100"/>
        <c:noMultiLvlLbl val="0"/>
      </c:catAx>
      <c:valAx>
        <c:axId val="250439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0420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5</xdr:row>
      <xdr:rowOff>25400</xdr:rowOff>
    </xdr:from>
    <xdr:to>
      <xdr:col>10</xdr:col>
      <xdr:colOff>114300</xdr:colOff>
      <xdr:row>16</xdr:row>
      <xdr:rowOff>127000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FC1A27E-A251-49DD-B44E-CA6544D8BB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69850</xdr:colOff>
      <xdr:row>16</xdr:row>
      <xdr:rowOff>152400</xdr:rowOff>
    </xdr:from>
    <xdr:to>
      <xdr:col>10</xdr:col>
      <xdr:colOff>107950</xdr:colOff>
      <xdr:row>29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7E5FC03-26FF-4AF6-A50A-189A47FF89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260350</xdr:colOff>
      <xdr:row>6</xdr:row>
      <xdr:rowOff>25400</xdr:rowOff>
    </xdr:from>
    <xdr:to>
      <xdr:col>10</xdr:col>
      <xdr:colOff>196850</xdr:colOff>
      <xdr:row>27</xdr:row>
      <xdr:rowOff>177800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B98B510-4214-43DD-B682-5E1AE3D00E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133350</xdr:rowOff>
    </xdr:from>
    <xdr:to>
      <xdr:col>10</xdr:col>
      <xdr:colOff>38100</xdr:colOff>
      <xdr:row>27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3A73C16-4502-49C9-829E-8FFBBEC942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571500</xdr:colOff>
      <xdr:row>12</xdr:row>
      <xdr:rowOff>69850</xdr:rowOff>
    </xdr:from>
    <xdr:to>
      <xdr:col>6</xdr:col>
      <xdr:colOff>114300</xdr:colOff>
      <xdr:row>26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25A6735-556D-5030-1977-8534151773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63500</xdr:colOff>
      <xdr:row>7</xdr:row>
      <xdr:rowOff>12700</xdr:rowOff>
    </xdr:from>
    <xdr:to>
      <xdr:col>8</xdr:col>
      <xdr:colOff>704850</xdr:colOff>
      <xdr:row>21</xdr:row>
      <xdr:rowOff>177800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60961DC-048A-F82B-07EB-A072AD8BBB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 Latitude" refreshedDate="46107.548988888891" createdVersion="8" refreshedVersion="8" minRefreshableVersion="3" recordCount="5" xr:uid="{1184839D-6452-4934-B360-BC7DBD5D9088}">
  <cacheSource type="worksheet">
    <worksheetSource name="ventas"/>
  </cacheSource>
  <cacheFields count="4">
    <cacheField name="mes" numFmtId="0">
      <sharedItems/>
    </cacheField>
    <cacheField name="ventas" numFmtId="0">
      <sharedItems containsSemiMixedTypes="0" containsString="0" containsNumber="1" containsInteger="1" minValue="1200" maxValue="2000"/>
    </cacheField>
    <cacheField name="llamadas" numFmtId="0">
      <sharedItems containsSemiMixedTypes="0" containsString="0" containsNumber="1" containsInteger="1" minValue="3000" maxValue="4000"/>
    </cacheField>
    <cacheField name="conversion 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 Latitude" refreshedDate="46107.550149074072" createdVersion="8" refreshedVersion="8" minRefreshableVersion="3" recordCount="5" xr:uid="{6961E6D5-0360-4B9C-B490-8BCBF76CC11F}">
  <cacheSource type="worksheet">
    <worksheetSource name="ventas"/>
  </cacheSource>
  <cacheFields count="5">
    <cacheField name="mes" numFmtId="0">
      <sharedItems count="5">
        <s v="Enero"/>
        <s v="Febrero"/>
        <s v="Marzo"/>
        <s v="Abril"/>
        <s v="Mayo"/>
      </sharedItems>
    </cacheField>
    <cacheField name="ventas" numFmtId="0">
      <sharedItems containsSemiMixedTypes="0" containsString="0" containsNumber="1" containsInteger="1" minValue="1200" maxValue="2000"/>
    </cacheField>
    <cacheField name="llamadas" numFmtId="0">
      <sharedItems containsSemiMixedTypes="0" containsString="0" containsNumber="1" containsInteger="1" minValue="3000" maxValue="4000"/>
    </cacheField>
    <cacheField name="conversion " numFmtId="0">
      <sharedItems containsNonDate="0" containsString="0" containsBlank="1" count="1">
        <m/>
      </sharedItems>
    </cacheField>
    <cacheField name="Conversion %" numFmtId="0" formula="ventas/llamada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Enero"/>
    <n v="1200"/>
    <n v="3000"/>
    <m/>
  </r>
  <r>
    <s v="Febrero"/>
    <n v="1500"/>
    <n v="3200"/>
    <m/>
  </r>
  <r>
    <s v="Marzo"/>
    <n v="1700"/>
    <n v="3500"/>
    <m/>
  </r>
  <r>
    <s v="Abril"/>
    <n v="1400"/>
    <n v="3100"/>
    <m/>
  </r>
  <r>
    <s v="Mayo"/>
    <n v="2000"/>
    <n v="400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1200"/>
    <n v="3000"/>
    <x v="0"/>
  </r>
  <r>
    <x v="1"/>
    <n v="1500"/>
    <n v="3200"/>
    <x v="0"/>
  </r>
  <r>
    <x v="2"/>
    <n v="1700"/>
    <n v="3500"/>
    <x v="0"/>
  </r>
  <r>
    <x v="3"/>
    <n v="1400"/>
    <n v="3100"/>
    <x v="0"/>
  </r>
  <r>
    <x v="4"/>
    <n v="2000"/>
    <n v="40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25372-34B8-4D53-9AF9-F8370B09B75C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4" firstHeaderRow="1" firstDataRow="1" firstDataCol="0"/>
  <pivotFields count="4">
    <pivotField showAll="0"/>
    <pivotField showAll="0"/>
    <pivotField dataField="1" showAll="0"/>
    <pivotField showAll="0"/>
  </pivotFields>
  <rowItems count="1">
    <i/>
  </rowItems>
  <colItems count="1">
    <i/>
  </colItems>
  <dataFields count="1">
    <dataField name="Suma de llamada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A24339-CCE7-492C-A50B-E1E056256E5D}" name="TablaDiná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3:D9" firstHeaderRow="0" firstDataRow="1" firstDataCol="1"/>
  <pivotFields count="5">
    <pivotField axis="axisRow" showAll="0">
      <items count="6">
        <item x="3"/>
        <item x="0"/>
        <item x="1"/>
        <item x="2"/>
        <item x="4"/>
        <item t="default"/>
      </items>
    </pivotField>
    <pivotField dataField="1" showAll="0"/>
    <pivotField dataField="1" showAll="0"/>
    <pivotField showAll="0">
      <items count="2">
        <item x="0"/>
        <item t="default"/>
      </items>
    </pivotField>
    <pivotField dataField="1" dragToRow="0" dragToCol="0" dragToPage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llamadas" fld="2" baseField="0" baseItem="0"/>
    <dataField name="Suma de ventas" fld="1" baseField="0" baseItem="0"/>
    <dataField name="Suma de Conversion %" fld="4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00BC23D-8ECD-4379-BA55-06A370D76B05}" autoFormatId="16" applyNumberFormats="0" applyBorderFormats="0" applyFontFormats="0" applyPatternFormats="0" applyAlignmentFormats="0" applyWidthHeightFormats="0">
  <queryTableRefresh nextId="5" unboundColumnsRight="2">
    <queryTableFields count="4">
      <queryTableField id="1" name="mes" tableColumnId="1"/>
      <queryTableField id="2" name="ventas" tableColumnId="2"/>
      <queryTableField id="3" dataBound="0" tableColumnId="3"/>
      <queryTableField id="4" dataBound="0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FCD769-E93F-45EB-9707-FB2774084809}" name="Tabla2" displayName="Tabla2" ref="A1:E6" totalsRowShown="0" headerRowDxfId="8" dataDxfId="7">
  <autoFilter ref="A1:E6" xr:uid="{60FCD769-E93F-45EB-9707-FB2774084809}"/>
  <tableColumns count="5">
    <tableColumn id="1" xr3:uid="{4A737AF8-8B71-4D25-9414-88840B68D7BF}" name="Mes" dataDxfId="6"/>
    <tableColumn id="2" xr3:uid="{FEF2A624-9BBC-4185-9E32-14D682E4D5DB}" name="Calls" dataDxfId="5"/>
    <tableColumn id="3" xr3:uid="{04DBCA72-72B7-4291-9785-74DF341BAE69}" name="Sales" dataDxfId="4"/>
    <tableColumn id="4" xr3:uid="{036E8DB3-3228-4CEB-8BC1-264895B68560}" name="Conversion" dataDxfId="3" dataCellStyle="Porcentaje">
      <calculatedColumnFormula>Tabla2[[#This Row],[Sales]]/Tabla2[[#This Row],[Calls]]</calculatedColumnFormula>
    </tableColumn>
    <tableColumn id="5" xr3:uid="{FE4BF767-1A02-476A-BCC0-02EB3AA974E0}" name="Missed calls" dataDxfId="2">
      <calculatedColumnFormula>Tabla2[[#This Row],[Calls]]-Tabla2[[#This Row],[Sales]]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09E5C4-D5C7-41C5-92CB-68EE7267377E}" name="ventas" displayName="ventas" ref="A1:D6" tableType="queryTable" totalsRowShown="0">
  <autoFilter ref="A1:D6" xr:uid="{5D09E5C4-D5C7-41C5-92CB-68EE7267377E}"/>
  <tableColumns count="4">
    <tableColumn id="1" xr3:uid="{8C03FA10-E2C2-4663-A7B5-138201F8E58E}" uniqueName="1" name="mes" queryTableFieldId="1" dataDxfId="1"/>
    <tableColumn id="2" xr3:uid="{0CF6C5FF-73B1-401B-A47C-51DB2B1F0DE6}" uniqueName="2" name="ventas" queryTableFieldId="2"/>
    <tableColumn id="3" xr3:uid="{C05A4015-1C1F-4515-B8CD-2783E7A1DB2B}" uniqueName="3" name="llamadas" queryTableFieldId="3"/>
    <tableColumn id="4" xr3:uid="{146FFE3D-13D9-4EBD-8CE7-415620D293C6}" uniqueName="4" name="conversion 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85775-D6B2-4A8B-8556-5CD53EFAA2CC}">
  <dimension ref="A3:A4"/>
  <sheetViews>
    <sheetView workbookViewId="0">
      <selection activeCell="C26" sqref="C26"/>
    </sheetView>
  </sheetViews>
  <sheetFormatPr baseColWidth="10" defaultRowHeight="14.5" x14ac:dyDescent="0.35"/>
  <cols>
    <col min="1" max="1" width="16.26953125" bestFit="1" customWidth="1"/>
  </cols>
  <sheetData>
    <row r="3" spans="1:1" x14ac:dyDescent="0.35">
      <c r="A3" t="s">
        <v>13</v>
      </c>
    </row>
    <row r="4" spans="1:1" x14ac:dyDescent="0.35">
      <c r="A4">
        <v>16800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ED595-77B9-4448-A43B-6DEDA1CA15F3}">
  <dimension ref="C2:I5"/>
  <sheetViews>
    <sheetView workbookViewId="0">
      <selection activeCell="K29" sqref="K29"/>
    </sheetView>
  </sheetViews>
  <sheetFormatPr baseColWidth="10" defaultRowHeight="14.5" x14ac:dyDescent="0.35"/>
  <sheetData>
    <row r="2" spans="3:9" ht="16" x14ac:dyDescent="0.4">
      <c r="D2" s="3" t="s">
        <v>15</v>
      </c>
      <c r="E2" s="3" t="s">
        <v>16</v>
      </c>
      <c r="F2" s="3" t="s">
        <v>17</v>
      </c>
      <c r="G2" s="3" t="s">
        <v>18</v>
      </c>
    </row>
    <row r="3" spans="3:9" x14ac:dyDescent="0.35">
      <c r="D3" s="5" t="s">
        <v>19</v>
      </c>
      <c r="E3" s="5" t="s">
        <v>20</v>
      </c>
      <c r="F3" s="5"/>
      <c r="G3" s="5" t="s">
        <v>21</v>
      </c>
      <c r="H3" s="4"/>
    </row>
    <row r="4" spans="3:9" x14ac:dyDescent="0.35">
      <c r="C4" s="4"/>
      <c r="E4" s="4" t="s">
        <v>22</v>
      </c>
    </row>
    <row r="5" spans="3:9" x14ac:dyDescent="0.35">
      <c r="C5" s="6" t="s">
        <v>25</v>
      </c>
      <c r="F5" s="7" t="s">
        <v>23</v>
      </c>
      <c r="I5" s="8" t="s">
        <v>24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3379F-C5A0-4217-936E-AB87F2F242BF}">
  <dimension ref="A1:E6"/>
  <sheetViews>
    <sheetView workbookViewId="0">
      <selection activeCell="C24" sqref="C24"/>
    </sheetView>
  </sheetViews>
  <sheetFormatPr baseColWidth="10" defaultRowHeight="14.5" x14ac:dyDescent="0.35"/>
  <cols>
    <col min="4" max="4" width="12.26953125" customWidth="1"/>
  </cols>
  <sheetData>
    <row r="1" spans="1:5" ht="29" x14ac:dyDescent="0.35">
      <c r="A1" s="9" t="s">
        <v>26</v>
      </c>
      <c r="B1" s="9" t="s">
        <v>27</v>
      </c>
      <c r="C1" s="9" t="s">
        <v>28</v>
      </c>
      <c r="D1" s="9" t="s">
        <v>29</v>
      </c>
      <c r="E1" s="9" t="s">
        <v>30</v>
      </c>
    </row>
    <row r="2" spans="1:5" x14ac:dyDescent="0.35">
      <c r="A2" s="10" t="s">
        <v>6</v>
      </c>
      <c r="B2" s="10">
        <v>3000</v>
      </c>
      <c r="C2" s="10">
        <v>1200</v>
      </c>
      <c r="D2" s="11">
        <f>Tabla2[[#This Row],[Sales]]/Tabla2[[#This Row],[Calls]]</f>
        <v>0.4</v>
      </c>
      <c r="E2" s="10">
        <f>Tabla2[[#This Row],[Calls]]-Tabla2[[#This Row],[Sales]]</f>
        <v>1800</v>
      </c>
    </row>
    <row r="3" spans="1:5" x14ac:dyDescent="0.35">
      <c r="A3" s="10" t="s">
        <v>7</v>
      </c>
      <c r="B3" s="10">
        <v>3200</v>
      </c>
      <c r="C3" s="10">
        <v>1500</v>
      </c>
      <c r="D3" s="11">
        <f>Tabla2[[#This Row],[Sales]]/Tabla2[[#This Row],[Calls]]</f>
        <v>0.46875</v>
      </c>
      <c r="E3" s="10">
        <f>Tabla2[[#This Row],[Calls]]-Tabla2[[#This Row],[Sales]]</f>
        <v>1700</v>
      </c>
    </row>
    <row r="4" spans="1:5" x14ac:dyDescent="0.35">
      <c r="A4" s="10" t="s">
        <v>8</v>
      </c>
      <c r="B4" s="10">
        <v>3500</v>
      </c>
      <c r="C4" s="10">
        <v>1700</v>
      </c>
      <c r="D4" s="11">
        <f>Tabla2[[#This Row],[Sales]]/Tabla2[[#This Row],[Calls]]</f>
        <v>0.48571428571428571</v>
      </c>
      <c r="E4" s="10">
        <f>Tabla2[[#This Row],[Calls]]-Tabla2[[#This Row],[Sales]]</f>
        <v>1800</v>
      </c>
    </row>
    <row r="5" spans="1:5" x14ac:dyDescent="0.35">
      <c r="A5" s="10" t="s">
        <v>9</v>
      </c>
      <c r="B5" s="10">
        <v>3100</v>
      </c>
      <c r="C5" s="10">
        <v>1400</v>
      </c>
      <c r="D5" s="11">
        <f>Tabla2[[#This Row],[Sales]]/Tabla2[[#This Row],[Calls]]</f>
        <v>0.45161290322580644</v>
      </c>
      <c r="E5" s="10">
        <f>Tabla2[[#This Row],[Calls]]-Tabla2[[#This Row],[Sales]]</f>
        <v>1700</v>
      </c>
    </row>
    <row r="6" spans="1:5" x14ac:dyDescent="0.35">
      <c r="A6" s="10" t="s">
        <v>10</v>
      </c>
      <c r="B6" s="10">
        <v>4000</v>
      </c>
      <c r="C6" s="10">
        <v>2000</v>
      </c>
      <c r="D6" s="12">
        <f>Tabla2[[#This Row],[Sales]]/Tabla2[[#This Row],[Calls]]</f>
        <v>0.5</v>
      </c>
      <c r="E6" s="10">
        <f>Tabla2[[#This Row],[Calls]]-Tabla2[[#This Row],[Sales]]</f>
        <v>2000</v>
      </c>
    </row>
  </sheetData>
  <conditionalFormatting sqref="D2:D6">
    <cfRule type="top10" dxfId="0" priority="1" percent="1" rank="10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947D7-A67A-4AF7-AC95-89853D35F49C}">
  <dimension ref="B1:H29"/>
  <sheetViews>
    <sheetView tabSelected="1" zoomScale="86" zoomScaleNormal="86" workbookViewId="0">
      <selection activeCell="A28" sqref="A28"/>
    </sheetView>
  </sheetViews>
  <sheetFormatPr baseColWidth="10" defaultRowHeight="14.5" x14ac:dyDescent="0.35"/>
  <cols>
    <col min="4" max="4" width="16.54296875" customWidth="1"/>
  </cols>
  <sheetData>
    <row r="1" spans="2:8" ht="21" x14ac:dyDescent="0.5">
      <c r="B1" s="16">
        <f>SUM(Hoja5!B2:B6)</f>
        <v>16800</v>
      </c>
      <c r="C1" s="16">
        <f>SUM(Hoja5!C2:C6)</f>
        <v>7800</v>
      </c>
      <c r="D1" s="17">
        <f>C1/B1</f>
        <v>0.4642857142857143</v>
      </c>
    </row>
    <row r="2" spans="2:8" x14ac:dyDescent="0.35">
      <c r="B2" s="18" t="s">
        <v>32</v>
      </c>
      <c r="C2" s="18" t="s">
        <v>33</v>
      </c>
      <c r="D2" s="18" t="s">
        <v>34</v>
      </c>
      <c r="E2" s="18"/>
    </row>
    <row r="4" spans="2:8" ht="18.5" x14ac:dyDescent="0.45">
      <c r="C4" s="13"/>
      <c r="D4" s="13"/>
      <c r="E4" s="14" t="s">
        <v>31</v>
      </c>
      <c r="F4" s="14"/>
      <c r="G4" s="14"/>
      <c r="H4" s="13"/>
    </row>
    <row r="5" spans="2:8" ht="18.5" x14ac:dyDescent="0.45">
      <c r="C5" s="13"/>
      <c r="D5" s="15"/>
      <c r="E5" s="15"/>
      <c r="F5" s="15"/>
      <c r="G5" s="15"/>
      <c r="H5" s="13"/>
    </row>
    <row r="6" spans="2:8" ht="18.5" x14ac:dyDescent="0.45">
      <c r="D6" s="19"/>
      <c r="E6" s="19" t="s">
        <v>35</v>
      </c>
      <c r="F6" s="19"/>
      <c r="G6" s="19"/>
    </row>
    <row r="29" spans="2:2" x14ac:dyDescent="0.35">
      <c r="B29" s="13"/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A0C95-FE3E-4B5A-974D-54B1CE55CDCA}">
  <dimension ref="A1"/>
  <sheetViews>
    <sheetView workbookViewId="0">
      <selection activeCell="B29" sqref="B29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D58D0-9FEC-4AB8-9F27-C62D2C6F6D04}">
  <dimension ref="A3:D9"/>
  <sheetViews>
    <sheetView topLeftCell="A2" workbookViewId="0">
      <selection activeCell="B28" sqref="B28"/>
    </sheetView>
  </sheetViews>
  <sheetFormatPr baseColWidth="10" defaultRowHeight="14.5" x14ac:dyDescent="0.35"/>
  <cols>
    <col min="1" max="1" width="16.54296875" bestFit="1" customWidth="1"/>
    <col min="2" max="2" width="16.26953125" bestFit="1" customWidth="1"/>
    <col min="3" max="3" width="14" bestFit="1" customWidth="1"/>
    <col min="4" max="4" width="19.90625" bestFit="1" customWidth="1"/>
  </cols>
  <sheetData>
    <row r="3" spans="1:4" x14ac:dyDescent="0.35">
      <c r="A3" s="1" t="s">
        <v>0</v>
      </c>
      <c r="B3" t="s">
        <v>13</v>
      </c>
      <c r="C3" t="s">
        <v>1</v>
      </c>
      <c r="D3" t="s">
        <v>14</v>
      </c>
    </row>
    <row r="4" spans="1:4" x14ac:dyDescent="0.35">
      <c r="A4" s="2" t="s">
        <v>9</v>
      </c>
      <c r="B4">
        <v>3100</v>
      </c>
      <c r="C4">
        <v>1400</v>
      </c>
      <c r="D4">
        <v>0.45161290322580644</v>
      </c>
    </row>
    <row r="5" spans="1:4" x14ac:dyDescent="0.35">
      <c r="A5" s="2" t="s">
        <v>6</v>
      </c>
      <c r="B5">
        <v>3000</v>
      </c>
      <c r="C5">
        <v>1200</v>
      </c>
      <c r="D5">
        <v>0.4</v>
      </c>
    </row>
    <row r="6" spans="1:4" x14ac:dyDescent="0.35">
      <c r="A6" s="2" t="s">
        <v>7</v>
      </c>
      <c r="B6">
        <v>3200</v>
      </c>
      <c r="C6">
        <v>1500</v>
      </c>
      <c r="D6">
        <v>0.46875</v>
      </c>
    </row>
    <row r="7" spans="1:4" x14ac:dyDescent="0.35">
      <c r="A7" s="2" t="s">
        <v>8</v>
      </c>
      <c r="B7">
        <v>3500</v>
      </c>
      <c r="C7">
        <v>1700</v>
      </c>
      <c r="D7">
        <v>0.48571428571428571</v>
      </c>
    </row>
    <row r="8" spans="1:4" x14ac:dyDescent="0.35">
      <c r="A8" s="2" t="s">
        <v>10</v>
      </c>
      <c r="B8">
        <v>4000</v>
      </c>
      <c r="C8">
        <v>2000</v>
      </c>
      <c r="D8">
        <v>0.5</v>
      </c>
    </row>
    <row r="9" spans="1:4" x14ac:dyDescent="0.35">
      <c r="A9" s="2" t="s">
        <v>3</v>
      </c>
      <c r="B9">
        <v>16800</v>
      </c>
      <c r="C9">
        <v>7800</v>
      </c>
      <c r="D9">
        <v>0.4642857142857143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824BA-AA38-4BED-BF39-1F1DEADE06D7}">
  <dimension ref="A1:D6"/>
  <sheetViews>
    <sheetView workbookViewId="0">
      <selection activeCell="D25" sqref="D25"/>
    </sheetView>
  </sheetViews>
  <sheetFormatPr baseColWidth="10" defaultRowHeight="14.5" x14ac:dyDescent="0.35"/>
  <cols>
    <col min="1" max="1" width="7.08984375" bestFit="1" customWidth="1"/>
    <col min="2" max="2" width="8.6328125" bestFit="1" customWidth="1"/>
    <col min="3" max="3" width="10.81640625" bestFit="1" customWidth="1"/>
    <col min="4" max="4" width="12.6328125" bestFit="1" customWidth="1"/>
  </cols>
  <sheetData>
    <row r="1" spans="1:4" x14ac:dyDescent="0.35">
      <c r="A1" t="s">
        <v>4</v>
      </c>
      <c r="B1" t="s">
        <v>5</v>
      </c>
      <c r="C1" t="s">
        <v>11</v>
      </c>
      <c r="D1" t="s">
        <v>12</v>
      </c>
    </row>
    <row r="2" spans="1:4" x14ac:dyDescent="0.35">
      <c r="A2" t="s">
        <v>6</v>
      </c>
      <c r="B2">
        <v>1200</v>
      </c>
      <c r="C2">
        <v>3000</v>
      </c>
    </row>
    <row r="3" spans="1:4" x14ac:dyDescent="0.35">
      <c r="A3" t="s">
        <v>7</v>
      </c>
      <c r="B3">
        <v>1500</v>
      </c>
      <c r="C3">
        <v>3200</v>
      </c>
    </row>
    <row r="4" spans="1:4" x14ac:dyDescent="0.35">
      <c r="A4" t="s">
        <v>8</v>
      </c>
      <c r="B4">
        <v>1700</v>
      </c>
      <c r="C4">
        <v>3500</v>
      </c>
    </row>
    <row r="5" spans="1:4" x14ac:dyDescent="0.35">
      <c r="A5" t="s">
        <v>9</v>
      </c>
      <c r="B5">
        <v>1400</v>
      </c>
      <c r="C5">
        <v>3100</v>
      </c>
    </row>
    <row r="6" spans="1:4" x14ac:dyDescent="0.35">
      <c r="A6" t="s">
        <v>10</v>
      </c>
      <c r="B6">
        <v>2000</v>
      </c>
      <c r="C6">
        <v>4000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B6F83-741A-4168-B168-0B9B2D4E438F}">
  <dimension ref="A1:B3"/>
  <sheetViews>
    <sheetView workbookViewId="0"/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7800</v>
      </c>
    </row>
    <row r="3" spans="1:2" x14ac:dyDescent="0.35">
      <c r="A3" t="s">
        <v>3</v>
      </c>
      <c r="B3">
        <v>7800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ADC75C-178D-4AF0-AFC5-ABD80B3415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Hoja1</vt:lpstr>
      <vt:lpstr>Hoja4</vt:lpstr>
      <vt:lpstr>Hoja5</vt:lpstr>
      <vt:lpstr>Hoja6</vt:lpstr>
      <vt:lpstr>Hoja3</vt:lpstr>
      <vt:lpstr>Hoja2</vt:lpstr>
      <vt:lpstr>ventas (2)</vt:lpstr>
      <vt:lpstr>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Latitude</dc:creator>
  <cp:lastModifiedBy>Nelson Blandón</cp:lastModifiedBy>
  <dcterms:created xsi:type="dcterms:W3CDTF">2026-03-26T20:14:50Z</dcterms:created>
  <dcterms:modified xsi:type="dcterms:W3CDTF">2026-03-28T22:51:10Z</dcterms:modified>
</cp:coreProperties>
</file>